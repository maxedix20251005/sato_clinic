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DIX人材開発事業部\Desktop\"/>
    </mc:Choice>
  </mc:AlternateContent>
  <xr:revisionPtr revIDLastSave="0" documentId="13_ncr:1_{3E1358DE-F03F-4822-8EE1-4E5382A5A59F}" xr6:coauthVersionLast="47" xr6:coauthVersionMax="47" xr10:uidLastSave="{00000000-0000-0000-0000-000000000000}"/>
  <bookViews>
    <workbookView xWindow="3816" yWindow="456" windowWidth="18696" windowHeight="12480" xr2:uid="{00000000-000D-0000-FFFF-FFFF00000000}"/>
  </bookViews>
  <sheets>
    <sheet name="20260323_宿利 忠海_佐藤医院_check" sheetId="1" r:id="rId1"/>
    <sheet name="要件整理" sheetId="2" r:id="rId2"/>
    <sheet name="総評" sheetId="3" r:id="rId3"/>
  </sheets>
  <definedNames>
    <definedName name="_xlnm._FilterDatabase" localSheetId="0" hidden="1">'20260323_宿利 忠海_佐藤医院_check'!$A$6:$H$49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G4" i="1"/>
  <c r="E4" i="1"/>
  <c r="C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G6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判定は 未確認 / OK / NG / 要確認 から選択</t>
        </r>
      </text>
    </comment>
    <comment ref="H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具体的な確認結果・修正点を記入</t>
        </r>
      </text>
    </comment>
  </commentList>
</comments>
</file>

<file path=xl/sharedStrings.xml><?xml version="1.0" encoding="utf-8"?>
<sst xmlns="http://schemas.openxmlformats.org/spreadsheetml/2006/main" count="347" uniqueCount="180">
  <si>
    <t>宿利さん sato_clinic 実チェック結果</t>
  </si>
  <si>
    <t>総項目数</t>
  </si>
  <si>
    <t>OK</t>
  </si>
  <si>
    <t>NG</t>
  </si>
  <si>
    <t>要確認</t>
  </si>
  <si>
    <t>No</t>
  </si>
  <si>
    <t>大分類</t>
  </si>
  <si>
    <t>ページ/機能</t>
  </si>
  <si>
    <t>項目</t>
  </si>
  <si>
    <t>チェック内容</t>
  </si>
  <si>
    <t>必須度</t>
  </si>
  <si>
    <t>コメント</t>
  </si>
  <si>
    <t>共通要件</t>
  </si>
  <si>
    <t>共通</t>
  </si>
  <si>
    <t>基本情報</t>
  </si>
  <si>
    <t>目的に合うサイト構成</t>
  </si>
  <si>
    <t>必須</t>
  </si>
  <si>
    <t>全体として必要情報へたどり着ける現代的な構成。TOPに主要情報がまとまっている。</t>
  </si>
  <si>
    <t>トーン&amp;マナー</t>
  </si>
  <si>
    <t>清潔感・安心感・親しみやすさ</t>
  </si>
  <si>
    <t>白基調にグリーン/ブルー系で、清潔感と安心感は出ている。</t>
  </si>
  <si>
    <t>可読性</t>
  </si>
  <si>
    <t>高齢者にも読みやすい文字</t>
  </si>
  <si>
    <t>本文16px・line-height 1.8 で可読性は高い。高齢者向けには18px寄りだと更に良い。</t>
  </si>
  <si>
    <t>レスポンシブ</t>
  </si>
  <si>
    <t>スマホ・タブレット対応</t>
  </si>
  <si>
    <t>READMEとCSSからレスポンシブ対応を確認。実機最終確認は推奨。</t>
  </si>
  <si>
    <t>素材利用</t>
  </si>
  <si>
    <t>支給ロゴの使用</t>
  </si>
  <si>
    <t>支給画像以外の不使用</t>
  </si>
  <si>
    <t>テキスト</t>
  </si>
  <si>
    <t>支給文面の改変なし</t>
  </si>
  <si>
    <t>ナビゲーション</t>
  </si>
  <si>
    <t>全ページ共通</t>
  </si>
  <si>
    <t>メニュー</t>
  </si>
  <si>
    <t>必要ページへの導線</t>
  </si>
  <si>
    <t>現在地</t>
  </si>
  <si>
    <t>今どこにいるか分かる</t>
  </si>
  <si>
    <t>推奨</t>
  </si>
  <si>
    <t>TOPページ</t>
  </si>
  <si>
    <t>TOP</t>
  </si>
  <si>
    <t>構成順</t>
  </si>
  <si>
    <t>指定順の反映</t>
  </si>
  <si>
    <t>ファーストビュー直後に「重要なお知らせ」が入り、指定の「ファーストビュー→診療時間→おしらせ」の順を崩している。</t>
  </si>
  <si>
    <t>ファーストビュー</t>
  </si>
  <si>
    <t>医院らしさの訴求</t>
  </si>
  <si>
    <t>「地域の皆さまの健康を見守り…」のコピーで医院らしさと安心感は十分伝わる。</t>
  </si>
  <si>
    <t>診療時間</t>
  </si>
  <si>
    <t>上部で確認できる</t>
  </si>
  <si>
    <t>おしらせ</t>
  </si>
  <si>
    <t>5件表示</t>
  </si>
  <si>
    <t>一覧/詳細への導線</t>
  </si>
  <si>
    <t>ニュースアーカイブページへの導線がある。</t>
  </si>
  <si>
    <t>院長挨拶</t>
  </si>
  <si>
    <t>挨拶の掲載</t>
  </si>
  <si>
    <t>院長挨拶が掲載されている。</t>
  </si>
  <si>
    <t>診察内容</t>
  </si>
  <si>
    <t>4件までの見せ方</t>
  </si>
  <si>
    <t>残り項目への導線</t>
  </si>
  <si>
    <t>当院について</t>
  </si>
  <si>
    <t>概要の掲載</t>
  </si>
  <si>
    <t>TOPに当院についての概要が掲載されている。</t>
  </si>
  <si>
    <t>詳細ページ導線</t>
  </si>
  <si>
    <t>当院について詳細ページへ導線がある。</t>
  </si>
  <si>
    <t>スタッフ紹介</t>
  </si>
  <si>
    <t>掲載有無</t>
  </si>
  <si>
    <t>スタッフ紹介が掲載されている。</t>
  </si>
  <si>
    <t>アクセス</t>
  </si>
  <si>
    <t>地図の掲載</t>
  </si>
  <si>
    <t>おしらせ一覧/詳細</t>
  </si>
  <si>
    <t>一覧</t>
  </si>
  <si>
    <t>見出しの分かりやすさ</t>
  </si>
  <si>
    <t>ニュース一覧ページは日付・タイトル・本文の構成が分かりやすい。</t>
  </si>
  <si>
    <t>詳細</t>
  </si>
  <si>
    <t>本文表示</t>
  </si>
  <si>
    <t>ニュースアーカイブページで本文まで読める。</t>
  </si>
  <si>
    <t>おしらせ管理</t>
  </si>
  <si>
    <t>更新性</t>
  </si>
  <si>
    <t>最新情報を更新しやすい</t>
  </si>
  <si>
    <t>READMEに「バックエンドなし。index.htmlを直接編集」とあり、院内更新しやすい運用には見えない。</t>
  </si>
  <si>
    <t>診察内容ページ</t>
  </si>
  <si>
    <t>掲載内容</t>
  </si>
  <si>
    <t>必要項目の掲載</t>
  </si>
  <si>
    <t>診察内容ページに必要7項目が揃っていない。</t>
  </si>
  <si>
    <t>内容の探しやすさ</t>
  </si>
  <si>
    <t>カード・見出し中心で診察内容は探しやすい。</t>
  </si>
  <si>
    <t>当院についてページ</t>
  </si>
  <si>
    <t>説明</t>
  </si>
  <si>
    <t>医院紹介の充実</t>
  </si>
  <si>
    <t>概要説明はあるが、仕様書の長文内容が about と policy に分散し、要件を十分満たすかは微妙。</t>
  </si>
  <si>
    <t>信頼感</t>
  </si>
  <si>
    <t>医院の強みが伝わる</t>
  </si>
  <si>
    <t>地域密着・患者第一の印象は伝わる。</t>
  </si>
  <si>
    <t>診療時間・所在地</t>
  </si>
  <si>
    <t>時間</t>
  </si>
  <si>
    <t>診療時間・休診日</t>
  </si>
  <si>
    <t>診療時間・休診日は正しく掲載されている。</t>
  </si>
  <si>
    <t>科目</t>
  </si>
  <si>
    <t>診療科目</t>
  </si>
  <si>
    <t>診療科目（内科/循環器科/呼吸器科/予防医療・健康診断 等）の一覧ページが確認できない。</t>
  </si>
  <si>
    <t>住所/連絡先</t>
  </si>
  <si>
    <t>住所・電話・FAX・メールは掲載されている。</t>
  </si>
  <si>
    <t>交通案内</t>
  </si>
  <si>
    <t>最寄駅徒歩5分・無料駐車場10台の案内がある。</t>
  </si>
  <si>
    <t>地図</t>
  </si>
  <si>
    <t>Googleマップ埋め込み</t>
  </si>
  <si>
    <t>Googleマップ埋め込みではなく、Googleマップを開く外部リンクのみ。</t>
  </si>
  <si>
    <t>FAQ</t>
  </si>
  <si>
    <t>FAQページ</t>
  </si>
  <si>
    <t>構成</t>
  </si>
  <si>
    <t>質問カテゴリ</t>
  </si>
  <si>
    <t>FAQページ自体が確認できない。</t>
  </si>
  <si>
    <t>質問と回答の見やすさ</t>
  </si>
  <si>
    <t>FAQページがないため、Q/Aの見やすさも未達。</t>
  </si>
  <si>
    <t>デザイン</t>
  </si>
  <si>
    <t>レイアウト</t>
  </si>
  <si>
    <t>情報の優先順位</t>
  </si>
  <si>
    <t>TOPの情報階層は比較的明確。見出し・カード・CTAの区別がつく。</t>
  </si>
  <si>
    <t>フォント</t>
  </si>
  <si>
    <t>統一感</t>
  </si>
  <si>
    <t>Noto Sans JP中心で統一感はある。</t>
  </si>
  <si>
    <t>余白</t>
  </si>
  <si>
    <t>詰まりすぎていない</t>
  </si>
  <si>
    <t>余白は概ね適切で詰まりすぎていない。</t>
  </si>
  <si>
    <t>配色</t>
  </si>
  <si>
    <t>コントラスト</t>
  </si>
  <si>
    <t>文字色と背景色のコントラストは十分。</t>
  </si>
  <si>
    <t>写真</t>
  </si>
  <si>
    <t>見せ方</t>
  </si>
  <si>
    <t>写真の見せ方に大きな破綻は見られない。</t>
  </si>
  <si>
    <t>フッター</t>
  </si>
  <si>
    <t>情報</t>
  </si>
  <si>
    <t>必要情報の再掲</t>
  </si>
  <si>
    <t>フッターで診療時間・連絡先・所在地の再掲は確認できない。</t>
  </si>
  <si>
    <t>導線</t>
  </si>
  <si>
    <t>ページ末の迷い防止</t>
  </si>
  <si>
    <t>フッターから主要導線へ戻りやすい作りではなく、ポリシー系リンク中心。</t>
  </si>
  <si>
    <t>佐藤医院 Webサイトリニューアル 要件整理</t>
  </si>
  <si>
    <t>区分</t>
  </si>
  <si>
    <t>内容</t>
  </si>
  <si>
    <t>文書</t>
  </si>
  <si>
    <t>依頼書</t>
  </si>
  <si>
    <t>背景: 古い見た目、探しにくさ、モバイル非対応を改善したい</t>
  </si>
  <si>
    <t>目的: 分かりやすい導線、今風のデザイン、安心感、レスポンシブ対応</t>
  </si>
  <si>
    <t>ファーストビュー・診療時間・おしらせを上部、アクセスとフッターを最後に配置</t>
  </si>
  <si>
    <t>ページ</t>
  </si>
  <si>
    <t>必須ページ</t>
  </si>
  <si>
    <t>TOP / おしらせ / 診察内容 / 当院について / 診療時間・所在地 / FAQ</t>
  </si>
  <si>
    <t>任意提案</t>
  </si>
  <si>
    <t>予約・問い合わせページは追加提案可</t>
  </si>
  <si>
    <t>トーン</t>
  </si>
  <si>
    <t>白基調、淡いグリーンまたはブルー、写真多め、親しみやすい、派手すぎない</t>
  </si>
  <si>
    <t>本文</t>
  </si>
  <si>
    <t>仕様書</t>
  </si>
  <si>
    <t>掲載文章は改変不可。追加文面は要連絡</t>
  </si>
  <si>
    <t>総評</t>
  </si>
  <si>
    <t>良い点</t>
  </si>
  <si>
    <t>清潔感のある配色、TOPの情報整理、診療時間・ニュース・スタッフ紹介の見せ方は全体に丁寧。WEB予約/WEB問診票の追加提案も積極的。</t>
  </si>
  <si>
    <t>主な問題点</t>
  </si>
  <si>
    <t>必須ページ要件の未達（FAQなし、独立した診療時間・所在地ページなし）、診察内容7項目不足、支給文面の改変、地図埋め込み未実装、フッター情報不足。</t>
  </si>
  <si>
    <t>講評の方向性</t>
  </si>
  <si>
    <t>見た目の完成度は高いが、要件遵守と情報設計の精度で減点されるタイプ。特に「依頼書どおりに作る」点を重視して修正すると改善幅が大きい。</t>
  </si>
  <si>
    <t>index.html上で支給logoの使用を確認</t>
    <rPh sb="22" eb="24">
      <t>カクニン</t>
    </rPh>
    <phoneticPr fontId="8"/>
  </si>
  <si>
    <t>佐藤医院長の画像変更が変更されている</t>
    <rPh sb="0" eb="2">
      <t>サトウ</t>
    </rPh>
    <rPh sb="2" eb="4">
      <t>イイン</t>
    </rPh>
    <rPh sb="4" eb="5">
      <t>チョウ</t>
    </rPh>
    <rPh sb="6" eb="8">
      <t>ガゾウ</t>
    </rPh>
    <rPh sb="11" eb="13">
      <t>ヘンコウ</t>
    </rPh>
    <phoneticPr fontId="8"/>
  </si>
  <si>
    <t>支給文面を要約・英訳し、表現変更もある。院長挨拶で「佐藤内科医院」を訂正してください。</t>
    <rPh sb="34" eb="36">
      <t>テイセイ</t>
    </rPh>
    <phoneticPr fontId="8"/>
  </si>
  <si>
    <t>必要導線に加えてWEB予約はあるが「FAQ」への独立導線が不足。</t>
    <phoneticPr fontId="8"/>
  </si>
  <si>
    <t>診療時間・受付時間・休診日が上部で確認しやすい。</t>
    <phoneticPr fontId="8"/>
  </si>
  <si>
    <t>ページ見出しで現在地は分かるが、ナビのアクティブ表示が、順番と連動していない</t>
    <rPh sb="28" eb="30">
      <t>ジュンバン</t>
    </rPh>
    <rPh sb="31" eb="33">
      <t>レンドウ</t>
    </rPh>
    <phoneticPr fontId="8"/>
  </si>
  <si>
    <t>TOPにおしらせ5件が掲載されている。
各項目にリンクが貼られていると可</t>
    <rPh sb="20" eb="23">
      <t>カクコウモク</t>
    </rPh>
    <rPh sb="28" eb="29">
      <t>ハ</t>
    </rPh>
    <rPh sb="35" eb="36">
      <t>カ</t>
    </rPh>
    <phoneticPr fontId="8"/>
  </si>
  <si>
    <t>専用の診察内容ページでも4件のみで、残り3件（健康診断・予防接種・禁煙外来）が確認できない。</t>
    <phoneticPr fontId="8"/>
  </si>
  <si>
    <t>TOPに診察内容4件が掲載されている。
アイコンを少し小さくして、テキストを下げ、カートの高さも少し詰める</t>
    <rPh sb="25" eb="26">
      <t>スコ</t>
    </rPh>
    <rPh sb="27" eb="28">
      <t>チイ</t>
    </rPh>
    <rPh sb="38" eb="39">
      <t>サ</t>
    </rPh>
    <rPh sb="45" eb="46">
      <t>タカ</t>
    </rPh>
    <rPh sb="48" eb="49">
      <t>スコ</t>
    </rPh>
    <rPh sb="50" eb="51">
      <t>ツ</t>
    </rPh>
    <phoneticPr fontId="8"/>
  </si>
  <si>
    <t>TOPでGoogleマップ埋め込みや地図そのものは確認できず、外部Googleマップリンクのみ。</t>
    <phoneticPr fontId="8"/>
  </si>
  <si>
    <t>WEB予約</t>
    <rPh sb="3" eb="5">
      <t>ヨヤク</t>
    </rPh>
    <phoneticPr fontId="8"/>
  </si>
  <si>
    <t>レイアウト</t>
    <phoneticPr fontId="8"/>
  </si>
  <si>
    <t>カレンダー</t>
    <phoneticPr fontId="8"/>
  </si>
  <si>
    <t>カレンダーの右側の余白が大きすぎる。
カレンダーの横幅のバランスを取ってください</t>
    <rPh sb="6" eb="7">
      <t>ミギ</t>
    </rPh>
    <rPh sb="7" eb="8">
      <t>ガワ</t>
    </rPh>
    <rPh sb="9" eb="11">
      <t>ヨハク</t>
    </rPh>
    <rPh sb="12" eb="13">
      <t>オオ</t>
    </rPh>
    <rPh sb="25" eb="27">
      <t>ヨコハバ</t>
    </rPh>
    <rPh sb="33" eb="34">
      <t>ト</t>
    </rPh>
    <phoneticPr fontId="8"/>
  </si>
  <si>
    <t xml:space="preserve">対象URL: https://maxedix20251005.github.io/sato_clinic/  </t>
    <phoneticPr fontId="8"/>
  </si>
  <si>
    <t>判定</t>
    <phoneticPr fontId="8"/>
  </si>
  <si>
    <t>OK</t>
    <phoneticPr fontId="8"/>
  </si>
  <si>
    <t>必須　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</si>
</sst>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4"/>
      <color rgb="FFFFFFFF"/>
      <name val="Meiryo"/>
      <family val="3"/>
      <charset val="128"/>
    </font>
    <font>
      <sz val="9"/>
      <color rgb="FF6B7280"/>
      <name val="Meiryo"/>
      <family val="3"/>
      <charset val="128"/>
    </font>
    <font>
      <b/>
      <sz val="10"/>
      <color rgb="FF111827"/>
      <name val="Meiryo"/>
      <family val="3"/>
      <charset val="128"/>
    </font>
    <font>
      <b/>
      <sz val="11"/>
      <color rgb="FF111827"/>
      <name val="Meiryo"/>
      <family val="3"/>
      <charset val="128"/>
    </font>
    <font>
      <b/>
      <sz val="11"/>
      <color rgb="FFFFFFFF"/>
      <name val="Meiryo"/>
      <family val="3"/>
      <charset val="128"/>
    </font>
    <font>
      <sz val="10"/>
      <color rgb="FF111827"/>
      <name val="Meiryo"/>
      <family val="3"/>
      <charset val="128"/>
    </font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4FB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EDE9FE"/>
      </patternFill>
    </fill>
    <fill>
      <patternFill patternType="solid">
        <fgColor rgb="FFEAF4EA"/>
      </patternFill>
    </fill>
    <fill>
      <patternFill patternType="solid">
        <fgColor rgb="FFFFF4CC"/>
      </patternFill>
    </fill>
    <fill>
      <patternFill patternType="solid">
        <fgColor rgb="FFFCE7D6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">
    <xf numFmtId="0" fontId="0" fillId="0" borderId="0"/>
    <xf numFmtId="0" fontId="7" fillId="0" borderId="0"/>
  </cellStyleXfs>
  <cellXfs count="18">
    <xf numFmtId="0" fontId="0" fillId="0" borderId="0" xfId="0"/>
    <xf numFmtId="0" fontId="3" fillId="4" borderId="1" xfId="1" applyFont="1" applyFill="1" applyBorder="1"/>
    <xf numFmtId="0" fontId="4" fillId="5" borderId="1" xfId="1" applyFont="1" applyFill="1" applyBorder="1" applyAlignment="1">
      <alignment horizontal="center"/>
    </xf>
    <xf numFmtId="0" fontId="5" fillId="2" borderId="1" xfId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vertical="top" wrapText="1"/>
    </xf>
    <xf numFmtId="0" fontId="6" fillId="5" borderId="1" xfId="1" applyFont="1" applyFill="1" applyBorder="1" applyAlignment="1">
      <alignment vertical="top" wrapText="1"/>
    </xf>
    <xf numFmtId="0" fontId="6" fillId="6" borderId="1" xfId="1" applyFont="1" applyFill="1" applyBorder="1" applyAlignment="1">
      <alignment vertical="top" wrapText="1"/>
    </xf>
    <xf numFmtId="0" fontId="6" fillId="7" borderId="1" xfId="1" applyFont="1" applyFill="1" applyBorder="1" applyAlignment="1">
      <alignment vertical="top" wrapText="1"/>
    </xf>
    <xf numFmtId="0" fontId="6" fillId="8" borderId="1" xfId="1" applyFont="1" applyFill="1" applyBorder="1" applyAlignment="1">
      <alignment vertical="top" wrapText="1"/>
    </xf>
    <xf numFmtId="0" fontId="6" fillId="4" borderId="1" xfId="1" applyFont="1" applyFill="1" applyBorder="1" applyAlignment="1">
      <alignment vertical="top" wrapText="1"/>
    </xf>
    <xf numFmtId="0" fontId="6" fillId="9" borderId="1" xfId="1" applyFont="1" applyFill="1" applyBorder="1" applyAlignment="1">
      <alignment vertical="top" wrapText="1"/>
    </xf>
    <xf numFmtId="0" fontId="6" fillId="10" borderId="1" xfId="1" applyFont="1" applyFill="1" applyBorder="1" applyAlignment="1">
      <alignment vertical="top" wrapText="1"/>
    </xf>
    <xf numFmtId="0" fontId="5" fillId="2" borderId="1" xfId="1" applyFont="1" applyFill="1" applyBorder="1"/>
    <xf numFmtId="0" fontId="2" fillId="3" borderId="0" xfId="1" applyFont="1" applyFill="1"/>
    <xf numFmtId="0" fontId="0" fillId="0" borderId="0" xfId="0"/>
    <xf numFmtId="0" fontId="1" fillId="2" borderId="0" xfId="1" applyFont="1" applyFill="1" applyAlignment="1">
      <alignment horizontal="left" vertical="center"/>
    </xf>
    <xf numFmtId="0" fontId="1" fillId="2" borderId="0" xfId="1" applyFont="1" applyFill="1"/>
    <xf numFmtId="0" fontId="6" fillId="5" borderId="1" xfId="1" applyFont="1" applyFill="1" applyBorder="1" applyAlignment="1">
      <alignment horizontal="center" vertical="top" wrapText="1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213360</xdr:colOff>
      <xdr:row>16</xdr:row>
      <xdr:rowOff>419100</xdr:rowOff>
    </xdr:to>
    <xdr:sp macro="" textlink="">
      <xdr:nvSpPr>
        <xdr:cNvPr id="1027" name="Text Box 3" hidden="1">
          <a:extLst>
            <a:ext uri="{FF2B5EF4-FFF2-40B4-BE49-F238E27FC236}">
              <a16:creationId xmlns:a16="http://schemas.microsoft.com/office/drawing/2014/main" id="{A2E18A4A-77AF-FE66-E3A0-34794796D49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showGridLines="0" tabSelected="1" workbookViewId="0">
      <selection activeCell="F8" sqref="F8"/>
    </sheetView>
  </sheetViews>
  <sheetFormatPr defaultRowHeight="14.4"/>
  <cols>
    <col min="1" max="1" width="6" customWidth="1"/>
    <col min="2" max="2" width="14" customWidth="1"/>
    <col min="3" max="4" width="18" customWidth="1"/>
    <col min="5" max="5" width="42" customWidth="1"/>
    <col min="6" max="6" width="10" customWidth="1"/>
    <col min="7" max="7" width="12" customWidth="1"/>
    <col min="8" max="8" width="40" customWidth="1"/>
  </cols>
  <sheetData>
    <row r="1" spans="1:9" ht="30" customHeight="1">
      <c r="A1" s="15" t="s">
        <v>0</v>
      </c>
      <c r="B1" s="14"/>
      <c r="C1" s="14"/>
      <c r="D1" s="14"/>
      <c r="E1" s="14"/>
      <c r="F1" s="14"/>
      <c r="G1" s="14"/>
      <c r="H1" s="14"/>
    </row>
    <row r="2" spans="1:9" ht="16.2">
      <c r="A2" s="13" t="s">
        <v>176</v>
      </c>
      <c r="B2" s="14"/>
      <c r="C2" s="14"/>
      <c r="D2" s="14"/>
      <c r="E2" s="14"/>
      <c r="F2" s="14"/>
      <c r="G2" s="14"/>
      <c r="H2" s="14"/>
    </row>
    <row r="4" spans="1:9" ht="20.399999999999999" customHeight="1">
      <c r="B4" s="1" t="s">
        <v>1</v>
      </c>
      <c r="C4" s="2">
        <f>COUNTA(A7:A57)</f>
        <v>43</v>
      </c>
      <c r="D4" s="1" t="s">
        <v>2</v>
      </c>
      <c r="E4" s="2">
        <f>COUNTIF(G7:G57,"OK")</f>
        <v>26</v>
      </c>
      <c r="F4" s="1" t="s">
        <v>3</v>
      </c>
      <c r="G4" s="2">
        <f>COUNTIF(G7:G57,"NG")</f>
        <v>10</v>
      </c>
      <c r="H4" s="1" t="s">
        <v>4</v>
      </c>
      <c r="I4" s="2">
        <f>COUNTIF(G7:G57,"要確認")</f>
        <v>7</v>
      </c>
    </row>
    <row r="6" spans="1:9" ht="17.399999999999999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177</v>
      </c>
      <c r="H6" s="3" t="s">
        <v>11</v>
      </c>
    </row>
    <row r="7" spans="1:9" ht="36" customHeight="1">
      <c r="A7" s="4">
        <v>1</v>
      </c>
      <c r="B7" s="4" t="s">
        <v>12</v>
      </c>
      <c r="C7" s="4" t="s">
        <v>13</v>
      </c>
      <c r="D7" s="4" t="s">
        <v>14</v>
      </c>
      <c r="E7" s="4" t="s">
        <v>15</v>
      </c>
      <c r="F7" s="4" t="s">
        <v>179</v>
      </c>
      <c r="G7" s="17" t="s">
        <v>178</v>
      </c>
      <c r="H7" s="5" t="s">
        <v>17</v>
      </c>
    </row>
    <row r="8" spans="1:9" ht="36" customHeight="1">
      <c r="A8" s="4">
        <v>2</v>
      </c>
      <c r="B8" s="4" t="s">
        <v>12</v>
      </c>
      <c r="C8" s="4" t="s">
        <v>13</v>
      </c>
      <c r="D8" s="4" t="s">
        <v>18</v>
      </c>
      <c r="E8" s="4" t="s">
        <v>19</v>
      </c>
      <c r="F8" s="4" t="s">
        <v>16</v>
      </c>
      <c r="G8" s="17" t="s">
        <v>2</v>
      </c>
      <c r="H8" s="5" t="s">
        <v>20</v>
      </c>
    </row>
    <row r="9" spans="1:9" ht="36" customHeight="1">
      <c r="A9" s="4">
        <v>3</v>
      </c>
      <c r="B9" s="4" t="s">
        <v>12</v>
      </c>
      <c r="C9" s="4" t="s">
        <v>13</v>
      </c>
      <c r="D9" s="4" t="s">
        <v>21</v>
      </c>
      <c r="E9" s="4" t="s">
        <v>22</v>
      </c>
      <c r="F9" s="4" t="s">
        <v>16</v>
      </c>
      <c r="G9" s="17" t="s">
        <v>2</v>
      </c>
      <c r="H9" s="5" t="s">
        <v>23</v>
      </c>
    </row>
    <row r="10" spans="1:9" ht="36" customHeight="1">
      <c r="A10" s="4">
        <v>4</v>
      </c>
      <c r="B10" s="4" t="s">
        <v>12</v>
      </c>
      <c r="C10" s="4" t="s">
        <v>13</v>
      </c>
      <c r="D10" s="4" t="s">
        <v>24</v>
      </c>
      <c r="E10" s="4" t="s">
        <v>25</v>
      </c>
      <c r="F10" s="4" t="s">
        <v>16</v>
      </c>
      <c r="G10" s="17" t="s">
        <v>2</v>
      </c>
      <c r="H10" s="5" t="s">
        <v>26</v>
      </c>
    </row>
    <row r="11" spans="1:9" ht="36" customHeight="1">
      <c r="A11" s="4">
        <v>5</v>
      </c>
      <c r="B11" s="4" t="s">
        <v>12</v>
      </c>
      <c r="C11" s="4" t="s">
        <v>13</v>
      </c>
      <c r="D11" s="4" t="s">
        <v>27</v>
      </c>
      <c r="E11" s="4" t="s">
        <v>28</v>
      </c>
      <c r="F11" s="4" t="s">
        <v>16</v>
      </c>
      <c r="G11" s="17" t="s">
        <v>2</v>
      </c>
      <c r="H11" s="5" t="s">
        <v>162</v>
      </c>
    </row>
    <row r="12" spans="1:9" ht="48" customHeight="1">
      <c r="A12" s="4">
        <v>6</v>
      </c>
      <c r="B12" s="4" t="s">
        <v>12</v>
      </c>
      <c r="C12" s="4" t="s">
        <v>13</v>
      </c>
      <c r="D12" s="4" t="s">
        <v>27</v>
      </c>
      <c r="E12" s="4" t="s">
        <v>29</v>
      </c>
      <c r="F12" s="4" t="s">
        <v>16</v>
      </c>
      <c r="G12" s="17" t="s">
        <v>3</v>
      </c>
      <c r="H12" s="5" t="s">
        <v>163</v>
      </c>
    </row>
    <row r="13" spans="1:9" ht="48" customHeight="1">
      <c r="A13" s="4">
        <v>7</v>
      </c>
      <c r="B13" s="4" t="s">
        <v>12</v>
      </c>
      <c r="C13" s="4" t="s">
        <v>13</v>
      </c>
      <c r="D13" s="4" t="s">
        <v>30</v>
      </c>
      <c r="E13" s="4" t="s">
        <v>31</v>
      </c>
      <c r="F13" s="4" t="s">
        <v>16</v>
      </c>
      <c r="G13" s="17" t="s">
        <v>3</v>
      </c>
      <c r="H13" s="5" t="s">
        <v>164</v>
      </c>
    </row>
    <row r="14" spans="1:9" ht="48" customHeight="1">
      <c r="A14" s="6">
        <v>8</v>
      </c>
      <c r="B14" s="6" t="s">
        <v>32</v>
      </c>
      <c r="C14" s="6" t="s">
        <v>33</v>
      </c>
      <c r="D14" s="6" t="s">
        <v>34</v>
      </c>
      <c r="E14" s="6" t="s">
        <v>35</v>
      </c>
      <c r="F14" s="6" t="s">
        <v>16</v>
      </c>
      <c r="G14" s="17" t="s">
        <v>3</v>
      </c>
      <c r="H14" s="5" t="s">
        <v>165</v>
      </c>
    </row>
    <row r="15" spans="1:9" ht="36" customHeight="1">
      <c r="A15" s="6">
        <v>9</v>
      </c>
      <c r="B15" s="6" t="s">
        <v>32</v>
      </c>
      <c r="C15" s="6" t="s">
        <v>33</v>
      </c>
      <c r="D15" s="6" t="s">
        <v>36</v>
      </c>
      <c r="E15" s="6" t="s">
        <v>37</v>
      </c>
      <c r="F15" s="6" t="s">
        <v>38</v>
      </c>
      <c r="G15" s="17" t="s">
        <v>4</v>
      </c>
      <c r="H15" s="5" t="s">
        <v>167</v>
      </c>
    </row>
    <row r="16" spans="1:9" ht="48" customHeight="1">
      <c r="A16" s="7">
        <v>10</v>
      </c>
      <c r="B16" s="7" t="s">
        <v>39</v>
      </c>
      <c r="C16" s="7" t="s">
        <v>40</v>
      </c>
      <c r="D16" s="7" t="s">
        <v>41</v>
      </c>
      <c r="E16" s="7" t="s">
        <v>42</v>
      </c>
      <c r="F16" s="7" t="s">
        <v>16</v>
      </c>
      <c r="G16" s="17" t="s">
        <v>4</v>
      </c>
      <c r="H16" s="5" t="s">
        <v>43</v>
      </c>
    </row>
    <row r="17" spans="1:8" ht="36" customHeight="1">
      <c r="A17" s="7">
        <v>11</v>
      </c>
      <c r="B17" s="7" t="s">
        <v>39</v>
      </c>
      <c r="C17" s="7" t="s">
        <v>40</v>
      </c>
      <c r="D17" s="7" t="s">
        <v>44</v>
      </c>
      <c r="E17" s="7" t="s">
        <v>45</v>
      </c>
      <c r="F17" s="7" t="s">
        <v>16</v>
      </c>
      <c r="G17" s="17" t="s">
        <v>2</v>
      </c>
      <c r="H17" s="5" t="s">
        <v>46</v>
      </c>
    </row>
    <row r="18" spans="1:8" ht="36" customHeight="1">
      <c r="A18" s="7">
        <v>12</v>
      </c>
      <c r="B18" s="7" t="s">
        <v>39</v>
      </c>
      <c r="C18" s="7" t="s">
        <v>40</v>
      </c>
      <c r="D18" s="7" t="s">
        <v>47</v>
      </c>
      <c r="E18" s="7" t="s">
        <v>48</v>
      </c>
      <c r="F18" s="7" t="s">
        <v>16</v>
      </c>
      <c r="G18" s="17" t="s">
        <v>2</v>
      </c>
      <c r="H18" s="5" t="s">
        <v>166</v>
      </c>
    </row>
    <row r="19" spans="1:8" ht="36" customHeight="1">
      <c r="A19" s="7">
        <v>13</v>
      </c>
      <c r="B19" s="7" t="s">
        <v>39</v>
      </c>
      <c r="C19" s="7" t="s">
        <v>40</v>
      </c>
      <c r="D19" s="7" t="s">
        <v>49</v>
      </c>
      <c r="E19" s="7" t="s">
        <v>50</v>
      </c>
      <c r="F19" s="7" t="s">
        <v>16</v>
      </c>
      <c r="G19" s="17" t="s">
        <v>2</v>
      </c>
      <c r="H19" s="5" t="s">
        <v>168</v>
      </c>
    </row>
    <row r="20" spans="1:8" ht="48" customHeight="1">
      <c r="A20" s="7">
        <v>14</v>
      </c>
      <c r="B20" s="7" t="s">
        <v>39</v>
      </c>
      <c r="C20" s="7" t="s">
        <v>40</v>
      </c>
      <c r="D20" s="7" t="s">
        <v>49</v>
      </c>
      <c r="E20" s="7" t="s">
        <v>51</v>
      </c>
      <c r="F20" s="7" t="s">
        <v>16</v>
      </c>
      <c r="G20" s="17" t="s">
        <v>2</v>
      </c>
      <c r="H20" s="5" t="s">
        <v>52</v>
      </c>
    </row>
    <row r="21" spans="1:8" ht="36" customHeight="1">
      <c r="A21" s="7">
        <v>15</v>
      </c>
      <c r="B21" s="7" t="s">
        <v>39</v>
      </c>
      <c r="C21" s="7" t="s">
        <v>40</v>
      </c>
      <c r="D21" s="7" t="s">
        <v>53</v>
      </c>
      <c r="E21" s="7" t="s">
        <v>54</v>
      </c>
      <c r="F21" s="7" t="s">
        <v>16</v>
      </c>
      <c r="G21" s="17" t="s">
        <v>2</v>
      </c>
      <c r="H21" s="5" t="s">
        <v>55</v>
      </c>
    </row>
    <row r="22" spans="1:8" ht="36" customHeight="1">
      <c r="A22" s="7">
        <v>16</v>
      </c>
      <c r="B22" s="7" t="s">
        <v>39</v>
      </c>
      <c r="C22" s="7" t="s">
        <v>40</v>
      </c>
      <c r="D22" s="7" t="s">
        <v>56</v>
      </c>
      <c r="E22" s="7" t="s">
        <v>57</v>
      </c>
      <c r="F22" s="7" t="s">
        <v>16</v>
      </c>
      <c r="G22" s="17" t="s">
        <v>2</v>
      </c>
      <c r="H22" s="5" t="s">
        <v>170</v>
      </c>
    </row>
    <row r="23" spans="1:8" ht="48" customHeight="1">
      <c r="A23" s="7">
        <v>17</v>
      </c>
      <c r="B23" s="7" t="s">
        <v>39</v>
      </c>
      <c r="C23" s="7" t="s">
        <v>40</v>
      </c>
      <c r="D23" s="7" t="s">
        <v>56</v>
      </c>
      <c r="E23" s="7" t="s">
        <v>58</v>
      </c>
      <c r="F23" s="7" t="s">
        <v>16</v>
      </c>
      <c r="G23" s="17" t="s">
        <v>4</v>
      </c>
      <c r="H23" s="5" t="s">
        <v>169</v>
      </c>
    </row>
    <row r="24" spans="1:8" ht="36" customHeight="1">
      <c r="A24" s="7">
        <v>18</v>
      </c>
      <c r="B24" s="7" t="s">
        <v>39</v>
      </c>
      <c r="C24" s="7" t="s">
        <v>40</v>
      </c>
      <c r="D24" s="7" t="s">
        <v>59</v>
      </c>
      <c r="E24" s="7" t="s">
        <v>60</v>
      </c>
      <c r="F24" s="7" t="s">
        <v>16</v>
      </c>
      <c r="G24" s="17" t="s">
        <v>2</v>
      </c>
      <c r="H24" s="5" t="s">
        <v>61</v>
      </c>
    </row>
    <row r="25" spans="1:8" ht="36" customHeight="1">
      <c r="A25" s="7">
        <v>19</v>
      </c>
      <c r="B25" s="7" t="s">
        <v>39</v>
      </c>
      <c r="C25" s="7" t="s">
        <v>40</v>
      </c>
      <c r="D25" s="7" t="s">
        <v>59</v>
      </c>
      <c r="E25" s="7" t="s">
        <v>62</v>
      </c>
      <c r="F25" s="7" t="s">
        <v>16</v>
      </c>
      <c r="G25" s="17" t="s">
        <v>2</v>
      </c>
      <c r="H25" s="5" t="s">
        <v>63</v>
      </c>
    </row>
    <row r="26" spans="1:8" ht="36" customHeight="1">
      <c r="A26" s="7">
        <v>20</v>
      </c>
      <c r="B26" s="7" t="s">
        <v>39</v>
      </c>
      <c r="C26" s="7" t="s">
        <v>40</v>
      </c>
      <c r="D26" s="7" t="s">
        <v>64</v>
      </c>
      <c r="E26" s="7" t="s">
        <v>65</v>
      </c>
      <c r="F26" s="7" t="s">
        <v>16</v>
      </c>
      <c r="G26" s="17" t="s">
        <v>2</v>
      </c>
      <c r="H26" s="5" t="s">
        <v>66</v>
      </c>
    </row>
    <row r="27" spans="1:8" ht="36" customHeight="1">
      <c r="A27" s="7">
        <v>21</v>
      </c>
      <c r="B27" s="7" t="s">
        <v>39</v>
      </c>
      <c r="C27" s="7" t="s">
        <v>40</v>
      </c>
      <c r="D27" s="7" t="s">
        <v>67</v>
      </c>
      <c r="E27" s="7" t="s">
        <v>68</v>
      </c>
      <c r="F27" s="7" t="s">
        <v>16</v>
      </c>
      <c r="G27" s="17" t="s">
        <v>4</v>
      </c>
      <c r="H27" s="5" t="s">
        <v>171</v>
      </c>
    </row>
    <row r="28" spans="1:8" ht="36" customHeight="1">
      <c r="A28" s="8">
        <v>22</v>
      </c>
      <c r="B28" s="8" t="s">
        <v>49</v>
      </c>
      <c r="C28" s="8" t="s">
        <v>69</v>
      </c>
      <c r="D28" s="8" t="s">
        <v>70</v>
      </c>
      <c r="E28" s="8" t="s">
        <v>71</v>
      </c>
      <c r="F28" s="8" t="s">
        <v>16</v>
      </c>
      <c r="G28" s="17" t="s">
        <v>2</v>
      </c>
      <c r="H28" s="5" t="s">
        <v>72</v>
      </c>
    </row>
    <row r="29" spans="1:8" ht="36" customHeight="1">
      <c r="A29" s="8">
        <v>23</v>
      </c>
      <c r="B29" s="8" t="s">
        <v>49</v>
      </c>
      <c r="C29" s="8" t="s">
        <v>69</v>
      </c>
      <c r="D29" s="8" t="s">
        <v>73</v>
      </c>
      <c r="E29" s="8" t="s">
        <v>74</v>
      </c>
      <c r="F29" s="8" t="s">
        <v>16</v>
      </c>
      <c r="G29" s="17" t="s">
        <v>2</v>
      </c>
      <c r="H29" s="5" t="s">
        <v>75</v>
      </c>
    </row>
    <row r="30" spans="1:8" ht="36" customHeight="1">
      <c r="A30" s="8">
        <v>24</v>
      </c>
      <c r="B30" s="8" t="s">
        <v>49</v>
      </c>
      <c r="C30" s="8" t="s">
        <v>76</v>
      </c>
      <c r="D30" s="8" t="s">
        <v>77</v>
      </c>
      <c r="E30" s="8" t="s">
        <v>78</v>
      </c>
      <c r="F30" s="8" t="s">
        <v>38</v>
      </c>
      <c r="G30" s="17" t="s">
        <v>3</v>
      </c>
      <c r="H30" s="5" t="s">
        <v>79</v>
      </c>
    </row>
    <row r="31" spans="1:8" ht="36" customHeight="1">
      <c r="A31" s="9">
        <v>25</v>
      </c>
      <c r="B31" s="9" t="s">
        <v>56</v>
      </c>
      <c r="C31" s="9" t="s">
        <v>80</v>
      </c>
      <c r="D31" s="9" t="s">
        <v>81</v>
      </c>
      <c r="E31" s="9" t="s">
        <v>82</v>
      </c>
      <c r="F31" s="9" t="s">
        <v>16</v>
      </c>
      <c r="G31" s="17" t="s">
        <v>4</v>
      </c>
      <c r="H31" s="5" t="s">
        <v>83</v>
      </c>
    </row>
    <row r="32" spans="1:8" ht="36" customHeight="1">
      <c r="A32" s="9">
        <v>26</v>
      </c>
      <c r="B32" s="9" t="s">
        <v>56</v>
      </c>
      <c r="C32" s="9" t="s">
        <v>80</v>
      </c>
      <c r="D32" s="9" t="s">
        <v>21</v>
      </c>
      <c r="E32" s="9" t="s">
        <v>84</v>
      </c>
      <c r="F32" s="9" t="s">
        <v>16</v>
      </c>
      <c r="G32" s="17" t="s">
        <v>2</v>
      </c>
      <c r="H32" s="5" t="s">
        <v>85</v>
      </c>
    </row>
    <row r="33" spans="1:8" ht="36" customHeight="1">
      <c r="A33" s="4">
        <v>27</v>
      </c>
      <c r="B33" s="4" t="s">
        <v>59</v>
      </c>
      <c r="C33" s="4" t="s">
        <v>86</v>
      </c>
      <c r="D33" s="4" t="s">
        <v>87</v>
      </c>
      <c r="E33" s="4" t="s">
        <v>88</v>
      </c>
      <c r="F33" s="4" t="s">
        <v>16</v>
      </c>
      <c r="G33" s="17" t="s">
        <v>4</v>
      </c>
      <c r="H33" s="5" t="s">
        <v>89</v>
      </c>
    </row>
    <row r="34" spans="1:8" ht="36" customHeight="1">
      <c r="A34" s="4">
        <v>28</v>
      </c>
      <c r="B34" s="4" t="s">
        <v>59</v>
      </c>
      <c r="C34" s="4" t="s">
        <v>86</v>
      </c>
      <c r="D34" s="4" t="s">
        <v>90</v>
      </c>
      <c r="E34" s="4" t="s">
        <v>91</v>
      </c>
      <c r="F34" s="4" t="s">
        <v>38</v>
      </c>
      <c r="G34" s="17" t="s">
        <v>2</v>
      </c>
      <c r="H34" s="5" t="s">
        <v>92</v>
      </c>
    </row>
    <row r="35" spans="1:8" ht="36" customHeight="1">
      <c r="A35" s="10">
        <v>29</v>
      </c>
      <c r="B35" s="10" t="s">
        <v>93</v>
      </c>
      <c r="C35" s="10" t="s">
        <v>93</v>
      </c>
      <c r="D35" s="10" t="s">
        <v>94</v>
      </c>
      <c r="E35" s="10" t="s">
        <v>95</v>
      </c>
      <c r="F35" s="10" t="s">
        <v>16</v>
      </c>
      <c r="G35" s="17" t="s">
        <v>2</v>
      </c>
      <c r="H35" s="5" t="s">
        <v>96</v>
      </c>
    </row>
    <row r="36" spans="1:8" ht="36" customHeight="1">
      <c r="A36" s="10">
        <v>30</v>
      </c>
      <c r="B36" s="10" t="s">
        <v>93</v>
      </c>
      <c r="C36" s="10" t="s">
        <v>93</v>
      </c>
      <c r="D36" s="10" t="s">
        <v>97</v>
      </c>
      <c r="E36" s="10" t="s">
        <v>98</v>
      </c>
      <c r="F36" s="10" t="s">
        <v>16</v>
      </c>
      <c r="G36" s="17" t="s">
        <v>3</v>
      </c>
      <c r="H36" s="5" t="s">
        <v>99</v>
      </c>
    </row>
    <row r="37" spans="1:8" ht="36" customHeight="1">
      <c r="A37" s="10">
        <v>31</v>
      </c>
      <c r="B37" s="10" t="s">
        <v>93</v>
      </c>
      <c r="C37" s="10" t="s">
        <v>93</v>
      </c>
      <c r="D37" s="10" t="s">
        <v>100</v>
      </c>
      <c r="E37" s="10" t="s">
        <v>14</v>
      </c>
      <c r="F37" s="10" t="s">
        <v>16</v>
      </c>
      <c r="G37" s="17" t="s">
        <v>2</v>
      </c>
      <c r="H37" s="5" t="s">
        <v>101</v>
      </c>
    </row>
    <row r="38" spans="1:8" ht="36" customHeight="1">
      <c r="A38" s="10">
        <v>32</v>
      </c>
      <c r="B38" s="10" t="s">
        <v>93</v>
      </c>
      <c r="C38" s="10" t="s">
        <v>93</v>
      </c>
      <c r="D38" s="10" t="s">
        <v>67</v>
      </c>
      <c r="E38" s="10" t="s">
        <v>102</v>
      </c>
      <c r="F38" s="10" t="s">
        <v>16</v>
      </c>
      <c r="G38" s="17" t="s">
        <v>2</v>
      </c>
      <c r="H38" s="5" t="s">
        <v>103</v>
      </c>
    </row>
    <row r="39" spans="1:8" ht="36" customHeight="1">
      <c r="A39" s="10">
        <v>33</v>
      </c>
      <c r="B39" s="10" t="s">
        <v>93</v>
      </c>
      <c r="C39" s="10" t="s">
        <v>93</v>
      </c>
      <c r="D39" s="10" t="s">
        <v>104</v>
      </c>
      <c r="E39" s="10" t="s">
        <v>105</v>
      </c>
      <c r="F39" s="10" t="s">
        <v>16</v>
      </c>
      <c r="G39" s="17" t="s">
        <v>4</v>
      </c>
      <c r="H39" s="5" t="s">
        <v>106</v>
      </c>
    </row>
    <row r="40" spans="1:8" ht="36" customHeight="1">
      <c r="A40" s="7">
        <v>34</v>
      </c>
      <c r="B40" s="7" t="s">
        <v>107</v>
      </c>
      <c r="C40" s="7" t="s">
        <v>108</v>
      </c>
      <c r="D40" s="7" t="s">
        <v>109</v>
      </c>
      <c r="E40" s="7" t="s">
        <v>110</v>
      </c>
      <c r="F40" s="7" t="s">
        <v>16</v>
      </c>
      <c r="G40" s="17" t="s">
        <v>3</v>
      </c>
      <c r="H40" s="5" t="s">
        <v>111</v>
      </c>
    </row>
    <row r="41" spans="1:8" ht="36" customHeight="1">
      <c r="A41" s="7">
        <v>35</v>
      </c>
      <c r="B41" s="7" t="s">
        <v>107</v>
      </c>
      <c r="C41" s="7" t="s">
        <v>108</v>
      </c>
      <c r="D41" s="7" t="s">
        <v>21</v>
      </c>
      <c r="E41" s="7" t="s">
        <v>112</v>
      </c>
      <c r="F41" s="7" t="s">
        <v>16</v>
      </c>
      <c r="G41" s="17" t="s">
        <v>3</v>
      </c>
      <c r="H41" s="5" t="s">
        <v>113</v>
      </c>
    </row>
    <row r="42" spans="1:8" ht="36" customHeight="1">
      <c r="A42" s="11">
        <v>36</v>
      </c>
      <c r="B42" s="11" t="s">
        <v>114</v>
      </c>
      <c r="C42" s="11" t="s">
        <v>33</v>
      </c>
      <c r="D42" s="11" t="s">
        <v>115</v>
      </c>
      <c r="E42" s="11" t="s">
        <v>116</v>
      </c>
      <c r="F42" s="11" t="s">
        <v>16</v>
      </c>
      <c r="G42" s="17" t="s">
        <v>2</v>
      </c>
      <c r="H42" s="5" t="s">
        <v>117</v>
      </c>
    </row>
    <row r="43" spans="1:8" ht="36" customHeight="1">
      <c r="A43" s="11">
        <v>37</v>
      </c>
      <c r="B43" s="11" t="s">
        <v>114</v>
      </c>
      <c r="C43" s="11" t="s">
        <v>33</v>
      </c>
      <c r="D43" s="11" t="s">
        <v>118</v>
      </c>
      <c r="E43" s="11" t="s">
        <v>119</v>
      </c>
      <c r="F43" s="11" t="s">
        <v>38</v>
      </c>
      <c r="G43" s="17" t="s">
        <v>2</v>
      </c>
      <c r="H43" s="5" t="s">
        <v>120</v>
      </c>
    </row>
    <row r="44" spans="1:8" ht="36" customHeight="1">
      <c r="A44" s="11">
        <v>38</v>
      </c>
      <c r="B44" s="11" t="s">
        <v>114</v>
      </c>
      <c r="C44" s="11" t="s">
        <v>33</v>
      </c>
      <c r="D44" s="11" t="s">
        <v>121</v>
      </c>
      <c r="E44" s="11" t="s">
        <v>122</v>
      </c>
      <c r="F44" s="11" t="s">
        <v>16</v>
      </c>
      <c r="G44" s="17" t="s">
        <v>2</v>
      </c>
      <c r="H44" s="5" t="s">
        <v>123</v>
      </c>
    </row>
    <row r="45" spans="1:8" ht="36" customHeight="1">
      <c r="A45" s="11">
        <v>39</v>
      </c>
      <c r="B45" s="11" t="s">
        <v>114</v>
      </c>
      <c r="C45" s="11" t="s">
        <v>33</v>
      </c>
      <c r="D45" s="11" t="s">
        <v>124</v>
      </c>
      <c r="E45" s="11" t="s">
        <v>125</v>
      </c>
      <c r="F45" s="11" t="s">
        <v>16</v>
      </c>
      <c r="G45" s="17" t="s">
        <v>2</v>
      </c>
      <c r="H45" s="5" t="s">
        <v>126</v>
      </c>
    </row>
    <row r="46" spans="1:8" ht="36" customHeight="1">
      <c r="A46" s="11">
        <v>40</v>
      </c>
      <c r="B46" s="11" t="s">
        <v>114</v>
      </c>
      <c r="C46" s="11" t="s">
        <v>33</v>
      </c>
      <c r="D46" s="11" t="s">
        <v>127</v>
      </c>
      <c r="E46" s="11" t="s">
        <v>128</v>
      </c>
      <c r="F46" s="11" t="s">
        <v>38</v>
      </c>
      <c r="G46" s="17" t="s">
        <v>2</v>
      </c>
      <c r="H46" s="5" t="s">
        <v>129</v>
      </c>
    </row>
    <row r="47" spans="1:8" ht="36" customHeight="1">
      <c r="A47" s="11">
        <v>41</v>
      </c>
      <c r="B47" s="11" t="s">
        <v>114</v>
      </c>
      <c r="C47" s="11" t="s">
        <v>172</v>
      </c>
      <c r="D47" s="11" t="s">
        <v>174</v>
      </c>
      <c r="E47" s="11" t="s">
        <v>173</v>
      </c>
      <c r="F47" s="11" t="s">
        <v>38</v>
      </c>
      <c r="G47" s="17" t="s">
        <v>3</v>
      </c>
      <c r="H47" s="5" t="s">
        <v>175</v>
      </c>
    </row>
    <row r="48" spans="1:8" ht="36" customHeight="1">
      <c r="A48" s="6">
        <v>42</v>
      </c>
      <c r="B48" s="6" t="s">
        <v>130</v>
      </c>
      <c r="C48" s="6" t="s">
        <v>33</v>
      </c>
      <c r="D48" s="6" t="s">
        <v>131</v>
      </c>
      <c r="E48" s="6" t="s">
        <v>132</v>
      </c>
      <c r="F48" s="6" t="s">
        <v>38</v>
      </c>
      <c r="G48" s="17" t="s">
        <v>3</v>
      </c>
      <c r="H48" s="5" t="s">
        <v>133</v>
      </c>
    </row>
    <row r="49" spans="1:8" ht="36" customHeight="1">
      <c r="A49" s="6">
        <v>43</v>
      </c>
      <c r="B49" s="6" t="s">
        <v>130</v>
      </c>
      <c r="C49" s="6" t="s">
        <v>33</v>
      </c>
      <c r="D49" s="6" t="s">
        <v>134</v>
      </c>
      <c r="E49" s="6" t="s">
        <v>135</v>
      </c>
      <c r="F49" s="6" t="s">
        <v>38</v>
      </c>
      <c r="G49" s="17" t="s">
        <v>3</v>
      </c>
      <c r="H49" s="5" t="s">
        <v>136</v>
      </c>
    </row>
  </sheetData>
  <mergeCells count="2">
    <mergeCell ref="A2:H2"/>
    <mergeCell ref="A1:H1"/>
  </mergeCells>
  <phoneticPr fontId="8"/>
  <dataValidations count="1">
    <dataValidation type="list" allowBlank="1" sqref="G7:G57" xr:uid="{00000000-0002-0000-0000-000000000000}">
      <formula1>"未確認,OK,NG,要確認"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showGridLines="0" workbookViewId="0">
      <selection activeCell="C17" sqref="C17"/>
    </sheetView>
  </sheetViews>
  <sheetFormatPr defaultRowHeight="14.4"/>
  <cols>
    <col min="1" max="1" width="18" customWidth="1"/>
    <col min="2" max="2" width="22" customWidth="1"/>
    <col min="3" max="3" width="68" customWidth="1"/>
  </cols>
  <sheetData>
    <row r="1" spans="1:3" ht="21.6">
      <c r="A1" s="16" t="s">
        <v>137</v>
      </c>
      <c r="B1" s="14"/>
      <c r="C1" s="14"/>
    </row>
    <row r="2" spans="1:3" ht="17.399999999999999">
      <c r="A2" s="12" t="s">
        <v>138</v>
      </c>
      <c r="B2" s="12" t="s">
        <v>8</v>
      </c>
      <c r="C2" s="12" t="s">
        <v>139</v>
      </c>
    </row>
    <row r="3" spans="1:3" ht="16.2">
      <c r="A3" s="5" t="s">
        <v>140</v>
      </c>
      <c r="B3" s="5" t="s">
        <v>141</v>
      </c>
      <c r="C3" s="5" t="s">
        <v>142</v>
      </c>
    </row>
    <row r="4" spans="1:3" ht="16.2">
      <c r="A4" s="11" t="s">
        <v>140</v>
      </c>
      <c r="B4" s="11" t="s">
        <v>141</v>
      </c>
      <c r="C4" s="11" t="s">
        <v>143</v>
      </c>
    </row>
    <row r="5" spans="1:3" ht="32.4">
      <c r="A5" s="5" t="s">
        <v>109</v>
      </c>
      <c r="B5" s="5" t="s">
        <v>39</v>
      </c>
      <c r="C5" s="5" t="s">
        <v>144</v>
      </c>
    </row>
    <row r="6" spans="1:3" ht="16.2">
      <c r="A6" s="11" t="s">
        <v>145</v>
      </c>
      <c r="B6" s="11" t="s">
        <v>146</v>
      </c>
      <c r="C6" s="11" t="s">
        <v>147</v>
      </c>
    </row>
    <row r="7" spans="1:3" ht="16.2">
      <c r="A7" s="5" t="s">
        <v>145</v>
      </c>
      <c r="B7" s="5" t="s">
        <v>148</v>
      </c>
      <c r="C7" s="5" t="s">
        <v>149</v>
      </c>
    </row>
    <row r="8" spans="1:3" ht="16.2">
      <c r="A8" s="11" t="s">
        <v>114</v>
      </c>
      <c r="B8" s="11" t="s">
        <v>150</v>
      </c>
      <c r="C8" s="11" t="s">
        <v>151</v>
      </c>
    </row>
    <row r="9" spans="1:3" ht="16.2">
      <c r="A9" s="5" t="s">
        <v>152</v>
      </c>
      <c r="B9" s="5" t="s">
        <v>153</v>
      </c>
      <c r="C9" s="5" t="s">
        <v>154</v>
      </c>
    </row>
  </sheetData>
  <mergeCells count="1">
    <mergeCell ref="A1:C1"/>
  </mergeCells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showGridLines="0" workbookViewId="0">
      <selection sqref="A1:B1"/>
    </sheetView>
  </sheetViews>
  <sheetFormatPr defaultRowHeight="14.4"/>
  <cols>
    <col min="1" max="1" width="18" customWidth="1"/>
    <col min="2" max="2" width="78" customWidth="1"/>
  </cols>
  <sheetData>
    <row r="1" spans="1:2" ht="21.6">
      <c r="A1" s="16" t="s">
        <v>155</v>
      </c>
      <c r="B1" s="14"/>
    </row>
    <row r="3" spans="1:2" ht="32.4">
      <c r="A3" s="5" t="s">
        <v>156</v>
      </c>
      <c r="B3" s="5" t="s">
        <v>157</v>
      </c>
    </row>
    <row r="4" spans="1:2" ht="32.4">
      <c r="A4" s="11" t="s">
        <v>158</v>
      </c>
      <c r="B4" s="11" t="s">
        <v>159</v>
      </c>
    </row>
    <row r="5" spans="1:2" ht="32.4">
      <c r="A5" s="5" t="s">
        <v>160</v>
      </c>
      <c r="B5" s="5" t="s">
        <v>161</v>
      </c>
    </row>
  </sheetData>
  <mergeCells count="1">
    <mergeCell ref="A1:B1"/>
  </mergeCells>
  <phoneticPr fontId="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20260323_宿利 忠海_佐藤医院_check</vt:lpstr>
      <vt:lpstr>要件整理</vt:lpstr>
      <vt:lpstr>総評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平松 克史</cp:lastModifiedBy>
  <dcterms:modified xsi:type="dcterms:W3CDTF">2026-03-23T02:39:34Z</dcterms:modified>
</cp:coreProperties>
</file>